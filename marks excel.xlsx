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ranjal Hedau\om kashikar\"/>
    </mc:Choice>
  </mc:AlternateContent>
  <bookViews>
    <workbookView xWindow="240" yWindow="15" windowWidth="16095" windowHeight="9660"/>
  </bookViews>
  <sheets>
    <sheet name="Sheet2" sheetId="2" r:id="rId1"/>
    <sheet name="Sheet1" sheetId="1" r:id="rId2"/>
  </sheets>
  <definedNames>
    <definedName name="_xlnm._FilterDatabase" localSheetId="1" hidden="1">Sheet1!$A$4:$L$21</definedName>
  </definedNames>
  <calcPr calcId="162913"/>
  <pivotCaches>
    <pivotCache cacheId="7" r:id="rId3"/>
  </pivotCaches>
</workbook>
</file>

<file path=xl/calcChain.xml><?xml version="1.0" encoding="utf-8"?>
<calcChain xmlns="http://schemas.openxmlformats.org/spreadsheetml/2006/main">
  <c r="A2" i="2" l="1"/>
  <c r="J2" i="1"/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K10" i="1" l="1"/>
  <c r="K3" i="1"/>
  <c r="L3" i="1" s="1"/>
  <c r="K11" i="1"/>
  <c r="K13" i="1"/>
  <c r="K16" i="1"/>
  <c r="K18" i="1"/>
  <c r="K19" i="1"/>
  <c r="K2" i="1"/>
  <c r="N2" i="1" s="1"/>
  <c r="K5" i="1"/>
  <c r="K14" i="1"/>
  <c r="K8" i="1"/>
  <c r="K6" i="1"/>
  <c r="K20" i="1"/>
  <c r="K21" i="1"/>
  <c r="K15" i="1"/>
  <c r="K17" i="1"/>
  <c r="K7" i="1"/>
  <c r="K12" i="1"/>
  <c r="K9" i="1"/>
  <c r="K4" i="1"/>
  <c r="J3" i="1"/>
  <c r="J11" i="1"/>
  <c r="J13" i="1"/>
  <c r="J16" i="1"/>
  <c r="J18" i="1"/>
  <c r="J19" i="1"/>
  <c r="J5" i="1"/>
  <c r="J14" i="1"/>
  <c r="J8" i="1"/>
  <c r="J6" i="1"/>
  <c r="J20" i="1"/>
  <c r="J21" i="1"/>
  <c r="J15" i="1"/>
  <c r="J17" i="1"/>
  <c r="J7" i="1"/>
  <c r="J12" i="1"/>
  <c r="J9" i="1"/>
  <c r="J4" i="1"/>
  <c r="J10" i="1"/>
  <c r="L17" i="1" l="1"/>
  <c r="L6" i="1"/>
  <c r="L13" i="1"/>
  <c r="L12" i="1"/>
  <c r="L14" i="1"/>
  <c r="L15" i="1"/>
  <c r="L19" i="1"/>
  <c r="L21" i="1"/>
  <c r="L18" i="1"/>
  <c r="L20" i="1"/>
  <c r="L16" i="1"/>
  <c r="L9" i="1"/>
  <c r="L8" i="1"/>
  <c r="L11" i="1"/>
  <c r="L7" i="1"/>
  <c r="L5" i="1"/>
  <c r="L10" i="1"/>
  <c r="L4" i="1"/>
  <c r="L2" i="1"/>
  <c r="L22" i="1" s="1"/>
</calcChain>
</file>

<file path=xl/sharedStrings.xml><?xml version="1.0" encoding="utf-8"?>
<sst xmlns="http://schemas.openxmlformats.org/spreadsheetml/2006/main" count="80" uniqueCount="64">
  <si>
    <t>Roll No</t>
  </si>
  <si>
    <t>Name</t>
  </si>
  <si>
    <t>Maths</t>
  </si>
  <si>
    <t>Science</t>
  </si>
  <si>
    <t>English</t>
  </si>
  <si>
    <t>History</t>
  </si>
  <si>
    <t>Computer</t>
  </si>
  <si>
    <t>Total</t>
  </si>
  <si>
    <t>92258062885</t>
  </si>
  <si>
    <t>75306017831</t>
  </si>
  <si>
    <t>07935150912</t>
  </si>
  <si>
    <t>31491626854</t>
  </si>
  <si>
    <t>48479319239</t>
  </si>
  <si>
    <t>35060490130</t>
  </si>
  <si>
    <t>13956377529</t>
  </si>
  <si>
    <t>07871707168</t>
  </si>
  <si>
    <t>32070850337</t>
  </si>
  <si>
    <t>50215622150</t>
  </si>
  <si>
    <t>22722979578</t>
  </si>
  <si>
    <t>46835491106</t>
  </si>
  <si>
    <t>38146373866</t>
  </si>
  <si>
    <t>25255448642</t>
  </si>
  <si>
    <t>22629995949</t>
  </si>
  <si>
    <t>90106515255</t>
  </si>
  <si>
    <t>31891263244</t>
  </si>
  <si>
    <t>73036311485</t>
  </si>
  <si>
    <t>49842974344</t>
  </si>
  <si>
    <t>Ishaan Nair</t>
  </si>
  <si>
    <t>Arjun Chopra</t>
  </si>
  <si>
    <t>Ananya Iyer</t>
  </si>
  <si>
    <t>Isha Reddy</t>
  </si>
  <si>
    <t>Navya Bose</t>
  </si>
  <si>
    <t>Avni Verma</t>
  </si>
  <si>
    <t>Aditya Joshi</t>
  </si>
  <si>
    <t>Saanvi Khan</t>
  </si>
  <si>
    <t>Aadhya Mehta</t>
  </si>
  <si>
    <t>Sai Patel</t>
  </si>
  <si>
    <t>Aryan Sharma</t>
  </si>
  <si>
    <t>Vivaan Malhotra</t>
  </si>
  <si>
    <t>Diya Kapoor</t>
  </si>
  <si>
    <t>Rohan Das</t>
  </si>
  <si>
    <t>Riya Yadav</t>
  </si>
  <si>
    <t>Krishna Ghosh</t>
  </si>
  <si>
    <t>Pari Agarwal</t>
  </si>
  <si>
    <t>Priya Mishra</t>
  </si>
  <si>
    <t>Vihaan Gupta</t>
  </si>
  <si>
    <t>Aarav Singh</t>
  </si>
  <si>
    <t>percentage</t>
  </si>
  <si>
    <t>Result</t>
  </si>
  <si>
    <t>DISTICTION</t>
  </si>
  <si>
    <t>Tinker lab</t>
  </si>
  <si>
    <t>A</t>
  </si>
  <si>
    <t>D</t>
  </si>
  <si>
    <t>B</t>
  </si>
  <si>
    <t>C</t>
  </si>
  <si>
    <t>Topper list</t>
  </si>
  <si>
    <t>CLASS</t>
  </si>
  <si>
    <t>Row Labels</t>
  </si>
  <si>
    <t>Grand Total</t>
  </si>
  <si>
    <t>FIRST CLASS</t>
  </si>
  <si>
    <t>FIRST DIVISION</t>
  </si>
  <si>
    <t>SECOND CLASS</t>
  </si>
  <si>
    <t>THIRD CLASS</t>
  </si>
  <si>
    <t>Sum of Topper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</si>
</sst>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11"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F0"/>
        </patternFill>
      </fill>
    </dxf>
    <dxf>
      <fill>
        <patternFill>
          <bgColor rgb="FF66FF66"/>
        </patternFill>
      </fill>
    </dxf>
    <dxf>
      <fill>
        <patternFill>
          <bgColor rgb="FF7030A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SSITNGP-02-09" refreshedDate="45944.401545486115" createdVersion="6" refreshedVersion="6" minRefreshableVersion="3" recordCount="20">
  <cacheSource type="worksheet">
    <worksheetSource ref="A1:N21" sheet="Sheet1"/>
  </cacheSource>
  <cacheFields count="14">
    <cacheField name="Roll No" numFmtId="0">
      <sharedItems containsMixedTypes="1" containsNumber="1" containsInteger="1" minValue="22967686708" maxValue="22967686708" count="20">
        <n v="22967686708"/>
        <s v="75306017831"/>
        <s v="49842974344"/>
        <s v="07871707168"/>
        <s v="22722979578"/>
        <s v="90106515255"/>
        <s v="50215622150"/>
        <s v="73036311485"/>
        <s v="92258062885"/>
        <s v="07935150912"/>
        <s v="31891263244"/>
        <s v="31491626854"/>
        <s v="32070850337"/>
        <s v="25255448642"/>
        <s v="48479319239"/>
        <s v="22629995949"/>
        <s v="35060490130"/>
        <s v="13956377529"/>
        <s v="46835491106"/>
        <s v="38146373866"/>
      </sharedItems>
    </cacheField>
    <cacheField name="Name" numFmtId="0">
      <sharedItems count="20">
        <s v="Saanvi Khan"/>
        <s v="Arjun Chopra"/>
        <s v="Aarav Singh"/>
        <s v="Aadhya Mehta"/>
        <s v="Vivaan Malhotra"/>
        <s v="Pari Agarwal"/>
        <s v="Aryan Sharma"/>
        <s v="Vihaan Gupta"/>
        <s v="Ishaan Nair"/>
        <s v="Ananya Iyer"/>
        <s v="Priya Mishra"/>
        <s v="Isha Reddy"/>
        <s v="Sai Patel"/>
        <s v="Riya Yadav"/>
        <s v="Navya Bose"/>
        <s v="Krishna Ghosh"/>
        <s v="Avni Verma"/>
        <s v="Aditya Joshi"/>
        <s v="Diya Kapoor"/>
        <s v="Rohan Das"/>
      </sharedItems>
    </cacheField>
    <cacheField name="Maths" numFmtId="0">
      <sharedItems containsSemiMixedTypes="0" containsString="0" containsNumber="1" containsInteger="1" minValue="44" maxValue="93"/>
    </cacheField>
    <cacheField name="Science" numFmtId="0">
      <sharedItems containsSemiMixedTypes="0" containsString="0" containsNumber="1" containsInteger="1" minValue="44" maxValue="98"/>
    </cacheField>
    <cacheField name="English" numFmtId="0">
      <sharedItems containsSemiMixedTypes="0" containsString="0" containsNumber="1" containsInteger="1" minValue="40" maxValue="100"/>
    </cacheField>
    <cacheField name="History" numFmtId="0">
      <sharedItems containsSemiMixedTypes="0" containsString="0" containsNumber="1" containsInteger="1" minValue="44" maxValue="99"/>
    </cacheField>
    <cacheField name="Computer" numFmtId="0">
      <sharedItems containsSemiMixedTypes="0" containsString="0" containsNumber="1" containsInteger="1" minValue="43" maxValue="100"/>
    </cacheField>
    <cacheField name="Tinker lab" numFmtId="0">
      <sharedItems count="4">
        <s v="A"/>
        <s v="D"/>
        <s v="B"/>
        <s v="C"/>
      </sharedItems>
    </cacheField>
    <cacheField name="Total" numFmtId="0">
      <sharedItems containsSemiMixedTypes="0" containsString="0" containsNumber="1" containsInteger="1" minValue="257" maxValue="444"/>
    </cacheField>
    <cacheField name="percentage" numFmtId="0">
      <sharedItems containsSemiMixedTypes="0" containsString="0" containsNumber="1" minValue="51.4" maxValue="88.8"/>
    </cacheField>
    <cacheField name="Result" numFmtId="0">
      <sharedItems count="2">
        <s v="pass"/>
        <s v="fail"/>
      </sharedItems>
    </cacheField>
    <cacheField name="DISTICTION" numFmtId="0">
      <sharedItems count="2">
        <s v="Distiction"/>
        <s v="Below distiction"/>
      </sharedItems>
    </cacheField>
    <cacheField name="Topper list" numFmtId="0">
      <sharedItems containsSemiMixedTypes="0" containsString="0" containsNumber="1" containsInteger="1" minValue="1" maxValue="20"/>
    </cacheField>
    <cacheField name="CLASS" numFmtId="0">
      <sharedItems count="4">
        <s v="FIRST DIVISION"/>
        <s v="FIRST CLASS"/>
        <s v="SECOND CLASS"/>
        <s v="THIRD CLAS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">
  <r>
    <x v="0"/>
    <x v="0"/>
    <n v="74"/>
    <n v="90"/>
    <n v="81"/>
    <n v="99"/>
    <n v="100"/>
    <x v="0"/>
    <n v="444"/>
    <n v="88.8"/>
    <x v="0"/>
    <x v="0"/>
    <n v="1"/>
    <x v="0"/>
  </r>
  <r>
    <x v="1"/>
    <x v="1"/>
    <n v="63"/>
    <n v="71"/>
    <n v="78"/>
    <n v="91"/>
    <n v="97"/>
    <x v="1"/>
    <n v="400"/>
    <n v="80"/>
    <x v="1"/>
    <x v="1"/>
    <n v="2"/>
    <x v="1"/>
  </r>
  <r>
    <x v="2"/>
    <x v="2"/>
    <n v="78"/>
    <n v="50"/>
    <n v="100"/>
    <n v="79"/>
    <n v="91"/>
    <x v="2"/>
    <n v="395"/>
    <n v="79.599999999999994"/>
    <x v="0"/>
    <x v="0"/>
    <n v="3"/>
    <x v="1"/>
  </r>
  <r>
    <x v="3"/>
    <x v="3"/>
    <n v="61"/>
    <n v="89"/>
    <n v="61"/>
    <n v="90"/>
    <n v="93"/>
    <x v="0"/>
    <n v="394"/>
    <n v="78.8"/>
    <x v="0"/>
    <x v="0"/>
    <n v="4"/>
    <x v="1"/>
  </r>
  <r>
    <x v="4"/>
    <x v="4"/>
    <n v="77"/>
    <n v="88"/>
    <n v="71"/>
    <n v="69"/>
    <n v="78"/>
    <x v="2"/>
    <n v="383"/>
    <n v="76.599999999999994"/>
    <x v="0"/>
    <x v="0"/>
    <n v="5"/>
    <x v="1"/>
  </r>
  <r>
    <x v="5"/>
    <x v="5"/>
    <n v="78"/>
    <n v="76"/>
    <n v="100"/>
    <n v="59"/>
    <n v="62"/>
    <x v="0"/>
    <n v="375"/>
    <n v="75"/>
    <x v="0"/>
    <x v="0"/>
    <n v="6"/>
    <x v="2"/>
  </r>
  <r>
    <x v="6"/>
    <x v="6"/>
    <n v="83"/>
    <n v="50"/>
    <n v="70"/>
    <n v="98"/>
    <n v="70"/>
    <x v="2"/>
    <n v="368"/>
    <n v="74.2"/>
    <x v="0"/>
    <x v="1"/>
    <n v="7"/>
    <x v="2"/>
  </r>
  <r>
    <x v="7"/>
    <x v="7"/>
    <n v="93"/>
    <n v="50"/>
    <n v="70"/>
    <n v="73"/>
    <n v="75"/>
    <x v="2"/>
    <n v="351"/>
    <n v="72.2"/>
    <x v="0"/>
    <x v="1"/>
    <n v="8"/>
    <x v="2"/>
  </r>
  <r>
    <x v="8"/>
    <x v="8"/>
    <n v="78"/>
    <n v="81"/>
    <n v="78"/>
    <n v="52"/>
    <n v="71"/>
    <x v="0"/>
    <n v="360"/>
    <n v="72"/>
    <x v="0"/>
    <x v="1"/>
    <n v="9"/>
    <x v="2"/>
  </r>
  <r>
    <x v="9"/>
    <x v="9"/>
    <n v="92"/>
    <n v="87"/>
    <n v="40"/>
    <n v="88"/>
    <n v="50"/>
    <x v="2"/>
    <n v="357"/>
    <n v="71.400000000000006"/>
    <x v="1"/>
    <x v="1"/>
    <n v="10"/>
    <x v="2"/>
  </r>
  <r>
    <x v="10"/>
    <x v="10"/>
    <n v="44"/>
    <n v="93"/>
    <n v="64"/>
    <n v="69"/>
    <n v="78"/>
    <x v="3"/>
    <n v="348"/>
    <n v="69.599999999999994"/>
    <x v="1"/>
    <x v="1"/>
    <n v="11"/>
    <x v="2"/>
  </r>
  <r>
    <x v="11"/>
    <x v="11"/>
    <n v="52"/>
    <n v="53"/>
    <n v="60"/>
    <n v="85"/>
    <n v="87"/>
    <x v="0"/>
    <n v="337"/>
    <n v="67.400000000000006"/>
    <x v="0"/>
    <x v="1"/>
    <n v="12"/>
    <x v="2"/>
  </r>
  <r>
    <x v="12"/>
    <x v="12"/>
    <n v="88"/>
    <n v="56"/>
    <n v="58"/>
    <n v="61"/>
    <n v="63"/>
    <x v="0"/>
    <n v="326"/>
    <n v="65.2"/>
    <x v="0"/>
    <x v="1"/>
    <n v="13"/>
    <x v="2"/>
  </r>
  <r>
    <x v="13"/>
    <x v="13"/>
    <n v="80"/>
    <n v="44"/>
    <n v="48"/>
    <n v="98"/>
    <n v="55"/>
    <x v="3"/>
    <n v="325"/>
    <n v="65"/>
    <x v="1"/>
    <x v="1"/>
    <n v="14"/>
    <x v="2"/>
  </r>
  <r>
    <x v="14"/>
    <x v="14"/>
    <n v="52"/>
    <n v="46"/>
    <n v="99"/>
    <n v="46"/>
    <n v="80"/>
    <x v="0"/>
    <n v="323"/>
    <n v="64.599999999999994"/>
    <x v="1"/>
    <x v="1"/>
    <n v="15"/>
    <x v="2"/>
  </r>
  <r>
    <x v="15"/>
    <x v="15"/>
    <n v="74"/>
    <n v="98"/>
    <n v="47"/>
    <n v="44"/>
    <n v="47"/>
    <x v="3"/>
    <n v="310"/>
    <n v="62"/>
    <x v="1"/>
    <x v="1"/>
    <n v="16"/>
    <x v="2"/>
  </r>
  <r>
    <x v="16"/>
    <x v="16"/>
    <n v="53"/>
    <n v="46"/>
    <n v="61"/>
    <n v="54"/>
    <n v="78"/>
    <x v="1"/>
    <n v="292"/>
    <n v="58.4"/>
    <x v="1"/>
    <x v="1"/>
    <n v="17"/>
    <x v="3"/>
  </r>
  <r>
    <x v="17"/>
    <x v="17"/>
    <n v="55"/>
    <n v="48"/>
    <n v="44"/>
    <n v="63"/>
    <n v="79"/>
    <x v="1"/>
    <n v="289"/>
    <n v="57.8"/>
    <x v="1"/>
    <x v="1"/>
    <n v="18"/>
    <x v="3"/>
  </r>
  <r>
    <x v="18"/>
    <x v="18"/>
    <n v="55"/>
    <n v="80"/>
    <n v="49"/>
    <n v="51"/>
    <n v="43"/>
    <x v="2"/>
    <n v="278"/>
    <n v="55.6"/>
    <x v="1"/>
    <x v="1"/>
    <n v="19"/>
    <x v="3"/>
  </r>
  <r>
    <x v="19"/>
    <x v="19"/>
    <n v="71"/>
    <n v="44"/>
    <n v="41"/>
    <n v="52"/>
    <n v="49"/>
    <x v="2"/>
    <n v="257"/>
    <n v="51.4"/>
    <x v="1"/>
    <x v="1"/>
    <n v="2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8" firstHeaderRow="1" firstDataRow="1" firstDataCol="1"/>
  <pivotFields count="14">
    <pivotField showAll="0">
      <items count="21">
        <item x="0"/>
        <item x="3"/>
        <item x="9"/>
        <item x="17"/>
        <item x="15"/>
        <item x="4"/>
        <item x="13"/>
        <item x="11"/>
        <item x="10"/>
        <item x="12"/>
        <item x="16"/>
        <item x="19"/>
        <item x="18"/>
        <item x="14"/>
        <item x="2"/>
        <item x="6"/>
        <item x="7"/>
        <item x="1"/>
        <item x="5"/>
        <item x="8"/>
        <item t="default"/>
      </items>
    </pivotField>
    <pivotField showAll="0">
      <items count="21">
        <item x="3"/>
        <item x="2"/>
        <item x="17"/>
        <item x="9"/>
        <item x="1"/>
        <item x="6"/>
        <item x="16"/>
        <item x="18"/>
        <item x="11"/>
        <item x="8"/>
        <item x="15"/>
        <item x="14"/>
        <item x="5"/>
        <item x="10"/>
        <item x="13"/>
        <item x="19"/>
        <item x="0"/>
        <item x="12"/>
        <item x="7"/>
        <item x="4"/>
        <item t="default"/>
      </items>
    </pivotField>
    <pivotField showAll="0"/>
    <pivotField showAll="0"/>
    <pivotField showAll="0"/>
    <pivotField showAll="0"/>
    <pivotField showAll="0"/>
    <pivotField showAll="0">
      <items count="5">
        <item x="0"/>
        <item x="2"/>
        <item x="3"/>
        <item x="1"/>
        <item t="default"/>
      </items>
    </pivotField>
    <pivotField showAll="0"/>
    <pivotField showAll="0"/>
    <pivotField showAll="0">
      <items count="3">
        <item x="1"/>
        <item x="0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axis="axisRow" showAll="0">
      <items count="5">
        <item x="1"/>
        <item x="0"/>
        <item x="2"/>
        <item x="3"/>
        <item t="default"/>
      </items>
    </pivotField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pper list" fld="1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8"/>
  <sheetViews>
    <sheetView tabSelected="1" workbookViewId="0">
      <selection activeCell="A2" sqref="A2"/>
    </sheetView>
  </sheetViews>
  <sheetFormatPr defaultRowHeight="15" x14ac:dyDescent="0.25"/>
  <cols>
    <col min="1" max="1" width="14.42578125" customWidth="1"/>
    <col min="2" max="2" width="17.28515625" bestFit="1" customWidth="1"/>
    <col min="3" max="3" width="17.85546875" customWidth="1"/>
    <col min="4" max="5" width="14" bestFit="1" customWidth="1"/>
    <col min="6" max="6" width="16.5703125" bestFit="1" customWidth="1"/>
    <col min="7" max="7" width="12" bestFit="1" customWidth="1"/>
    <col min="8" max="8" width="17.85546875" bestFit="1" customWidth="1"/>
    <col min="9" max="9" width="17.28515625" bestFit="1" customWidth="1"/>
  </cols>
  <sheetData>
    <row r="2" spans="1:2" x14ac:dyDescent="0.25">
      <c r="A2">
        <f>SUM(A7)</f>
        <v>0</v>
      </c>
    </row>
    <row r="3" spans="1:2" x14ac:dyDescent="0.25">
      <c r="A3" s="4" t="s">
        <v>57</v>
      </c>
      <c r="B3" t="s">
        <v>63</v>
      </c>
    </row>
    <row r="4" spans="1:2" x14ac:dyDescent="0.25">
      <c r="A4" s="5" t="s">
        <v>59</v>
      </c>
      <c r="B4" s="6">
        <v>14</v>
      </c>
    </row>
    <row r="5" spans="1:2" x14ac:dyDescent="0.25">
      <c r="A5" s="5" t="s">
        <v>60</v>
      </c>
      <c r="B5" s="6">
        <v>1</v>
      </c>
    </row>
    <row r="6" spans="1:2" x14ac:dyDescent="0.25">
      <c r="A6" s="5" t="s">
        <v>61</v>
      </c>
      <c r="B6" s="6">
        <v>121</v>
      </c>
    </row>
    <row r="7" spans="1:2" x14ac:dyDescent="0.25">
      <c r="A7" s="5" t="s">
        <v>62</v>
      </c>
      <c r="B7" s="6">
        <v>74</v>
      </c>
    </row>
    <row r="8" spans="1:2" x14ac:dyDescent="0.25">
      <c r="A8" s="5" t="s">
        <v>58</v>
      </c>
      <c r="B8" s="6">
        <v>210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2"/>
  <sheetViews>
    <sheetView workbookViewId="0">
      <selection activeCell="O21" sqref="A1:O21"/>
    </sheetView>
  </sheetViews>
  <sheetFormatPr defaultRowHeight="15" x14ac:dyDescent="0.25"/>
  <cols>
    <col min="1" max="1" width="12" bestFit="1" customWidth="1"/>
    <col min="12" max="12" width="18.425781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50</v>
      </c>
      <c r="I1" s="1" t="s">
        <v>7</v>
      </c>
      <c r="J1" s="2" t="s">
        <v>47</v>
      </c>
      <c r="K1" s="2" t="s">
        <v>48</v>
      </c>
      <c r="L1" s="2" t="s">
        <v>49</v>
      </c>
      <c r="M1" t="s">
        <v>55</v>
      </c>
      <c r="N1" s="3" t="s">
        <v>56</v>
      </c>
    </row>
    <row r="2" spans="1:14" x14ac:dyDescent="0.25">
      <c r="A2">
        <v>22967686708</v>
      </c>
      <c r="B2" t="s">
        <v>34</v>
      </c>
      <c r="C2">
        <v>74</v>
      </c>
      <c r="D2">
        <v>90</v>
      </c>
      <c r="E2">
        <v>81</v>
      </c>
      <c r="F2">
        <v>99</v>
      </c>
      <c r="G2">
        <v>100</v>
      </c>
      <c r="H2" t="s">
        <v>51</v>
      </c>
      <c r="I2">
        <v>444</v>
      </c>
      <c r="J2">
        <f t="shared" ref="J2:J21" si="0">AVERAGE(C2:G2)</f>
        <v>88.8</v>
      </c>
      <c r="K2" t="str">
        <f t="shared" ref="K2:K21" si="1">IF(AND( C2&gt;=50,D2&gt;=50,E2&gt;=50,F2&gt;=50,G2&gt;=50, OR(H2="A",H2="B",H2="'C")),"pass","fail")</f>
        <v>pass</v>
      </c>
      <c r="L2" t="str">
        <f t="shared" ref="L2:L21" si="2">IF(AND( K2="Pass",J2&gt;=75),"Distiction","Below distiction")</f>
        <v>Distiction</v>
      </c>
      <c r="M2">
        <v>1</v>
      </c>
      <c r="N2" t="str">
        <f>IF(AND(J2&gt;=75,J2&lt;90,K2="PASS"),"FIRST DIVISION"," "  )</f>
        <v>FIRST DIVISION</v>
      </c>
    </row>
    <row r="3" spans="1:14" x14ac:dyDescent="0.25">
      <c r="A3" t="s">
        <v>9</v>
      </c>
      <c r="B3" t="s">
        <v>28</v>
      </c>
      <c r="C3">
        <v>63</v>
      </c>
      <c r="D3">
        <v>71</v>
      </c>
      <c r="E3">
        <v>78</v>
      </c>
      <c r="F3">
        <v>91</v>
      </c>
      <c r="G3">
        <v>97</v>
      </c>
      <c r="H3" t="s">
        <v>52</v>
      </c>
      <c r="I3">
        <v>400</v>
      </c>
      <c r="J3">
        <f t="shared" si="0"/>
        <v>80</v>
      </c>
      <c r="K3" t="str">
        <f t="shared" si="1"/>
        <v>fail</v>
      </c>
      <c r="L3" t="str">
        <f t="shared" si="2"/>
        <v>Below distiction</v>
      </c>
      <c r="M3">
        <v>2</v>
      </c>
      <c r="N3" t="str">
        <f t="shared" ref="N3:N21" si="3">IF(J3&gt;75,"FIRST CLASS",IF(J3&gt;60,"SECOND CLASS",IF(J3&gt;45,"THIRD CLASS")))</f>
        <v>FIRST CLASS</v>
      </c>
    </row>
    <row r="4" spans="1:14" x14ac:dyDescent="0.25">
      <c r="A4" t="s">
        <v>26</v>
      </c>
      <c r="B4" t="s">
        <v>46</v>
      </c>
      <c r="C4">
        <v>78</v>
      </c>
      <c r="D4">
        <v>50</v>
      </c>
      <c r="E4">
        <v>100</v>
      </c>
      <c r="F4">
        <v>79</v>
      </c>
      <c r="G4">
        <v>91</v>
      </c>
      <c r="H4" t="s">
        <v>53</v>
      </c>
      <c r="I4">
        <v>395</v>
      </c>
      <c r="J4">
        <f t="shared" si="0"/>
        <v>79.599999999999994</v>
      </c>
      <c r="K4" t="str">
        <f t="shared" si="1"/>
        <v>pass</v>
      </c>
      <c r="L4" t="str">
        <f t="shared" si="2"/>
        <v>Distiction</v>
      </c>
      <c r="M4">
        <v>3</v>
      </c>
      <c r="N4" t="str">
        <f t="shared" si="3"/>
        <v>FIRST CLASS</v>
      </c>
    </row>
    <row r="5" spans="1:14" x14ac:dyDescent="0.25">
      <c r="A5" t="s">
        <v>15</v>
      </c>
      <c r="B5" t="s">
        <v>35</v>
      </c>
      <c r="C5">
        <v>61</v>
      </c>
      <c r="D5">
        <v>89</v>
      </c>
      <c r="E5">
        <v>61</v>
      </c>
      <c r="F5">
        <v>90</v>
      </c>
      <c r="G5">
        <v>93</v>
      </c>
      <c r="H5" t="s">
        <v>51</v>
      </c>
      <c r="I5">
        <v>394</v>
      </c>
      <c r="J5">
        <f t="shared" si="0"/>
        <v>78.8</v>
      </c>
      <c r="K5" t="str">
        <f t="shared" si="1"/>
        <v>pass</v>
      </c>
      <c r="L5" t="str">
        <f t="shared" si="2"/>
        <v>Distiction</v>
      </c>
      <c r="M5">
        <v>4</v>
      </c>
      <c r="N5" t="str">
        <f t="shared" si="3"/>
        <v>FIRST CLASS</v>
      </c>
    </row>
    <row r="6" spans="1:14" x14ac:dyDescent="0.25">
      <c r="A6" t="s">
        <v>18</v>
      </c>
      <c r="B6" t="s">
        <v>38</v>
      </c>
      <c r="C6">
        <v>77</v>
      </c>
      <c r="D6">
        <v>88</v>
      </c>
      <c r="E6">
        <v>71</v>
      </c>
      <c r="F6">
        <v>69</v>
      </c>
      <c r="G6">
        <v>78</v>
      </c>
      <c r="H6" t="s">
        <v>53</v>
      </c>
      <c r="I6">
        <v>383</v>
      </c>
      <c r="J6">
        <f t="shared" si="0"/>
        <v>76.599999999999994</v>
      </c>
      <c r="K6" t="str">
        <f t="shared" si="1"/>
        <v>pass</v>
      </c>
      <c r="L6" t="str">
        <f t="shared" si="2"/>
        <v>Distiction</v>
      </c>
      <c r="M6">
        <v>5</v>
      </c>
      <c r="N6" t="str">
        <f t="shared" si="3"/>
        <v>FIRST CLASS</v>
      </c>
    </row>
    <row r="7" spans="1:14" x14ac:dyDescent="0.25">
      <c r="A7" t="s">
        <v>23</v>
      </c>
      <c r="B7" t="s">
        <v>43</v>
      </c>
      <c r="C7">
        <v>78</v>
      </c>
      <c r="D7">
        <v>76</v>
      </c>
      <c r="E7">
        <v>100</v>
      </c>
      <c r="F7">
        <v>59</v>
      </c>
      <c r="G7">
        <v>62</v>
      </c>
      <c r="H7" t="s">
        <v>51</v>
      </c>
      <c r="I7">
        <v>375</v>
      </c>
      <c r="J7">
        <f t="shared" si="0"/>
        <v>75</v>
      </c>
      <c r="K7" t="str">
        <f t="shared" si="1"/>
        <v>pass</v>
      </c>
      <c r="L7" t="str">
        <f t="shared" si="2"/>
        <v>Distiction</v>
      </c>
      <c r="M7">
        <v>6</v>
      </c>
      <c r="N7" t="str">
        <f t="shared" si="3"/>
        <v>SECOND CLASS</v>
      </c>
    </row>
    <row r="8" spans="1:14" x14ac:dyDescent="0.25">
      <c r="A8" t="s">
        <v>17</v>
      </c>
      <c r="B8" t="s">
        <v>37</v>
      </c>
      <c r="C8">
        <v>83</v>
      </c>
      <c r="D8">
        <v>50</v>
      </c>
      <c r="E8">
        <v>70</v>
      </c>
      <c r="F8">
        <v>98</v>
      </c>
      <c r="G8">
        <v>70</v>
      </c>
      <c r="H8" t="s">
        <v>53</v>
      </c>
      <c r="I8">
        <v>368</v>
      </c>
      <c r="J8">
        <f t="shared" si="0"/>
        <v>74.2</v>
      </c>
      <c r="K8" t="str">
        <f t="shared" si="1"/>
        <v>pass</v>
      </c>
      <c r="L8" t="str">
        <f t="shared" si="2"/>
        <v>Below distiction</v>
      </c>
      <c r="M8">
        <v>7</v>
      </c>
      <c r="N8" t="str">
        <f t="shared" si="3"/>
        <v>SECOND CLASS</v>
      </c>
    </row>
    <row r="9" spans="1:14" x14ac:dyDescent="0.25">
      <c r="A9" t="s">
        <v>25</v>
      </c>
      <c r="B9" t="s">
        <v>45</v>
      </c>
      <c r="C9">
        <v>93</v>
      </c>
      <c r="D9">
        <v>50</v>
      </c>
      <c r="E9">
        <v>70</v>
      </c>
      <c r="F9">
        <v>73</v>
      </c>
      <c r="G9">
        <v>75</v>
      </c>
      <c r="H9" t="s">
        <v>53</v>
      </c>
      <c r="I9">
        <v>351</v>
      </c>
      <c r="J9">
        <f t="shared" si="0"/>
        <v>72.2</v>
      </c>
      <c r="K9" t="str">
        <f t="shared" si="1"/>
        <v>pass</v>
      </c>
      <c r="L9" t="str">
        <f t="shared" si="2"/>
        <v>Below distiction</v>
      </c>
      <c r="M9">
        <v>8</v>
      </c>
      <c r="N9" t="str">
        <f t="shared" si="3"/>
        <v>SECOND CLASS</v>
      </c>
    </row>
    <row r="10" spans="1:14" x14ac:dyDescent="0.25">
      <c r="A10" t="s">
        <v>8</v>
      </c>
      <c r="B10" t="s">
        <v>27</v>
      </c>
      <c r="C10">
        <v>78</v>
      </c>
      <c r="D10">
        <v>81</v>
      </c>
      <c r="E10">
        <v>78</v>
      </c>
      <c r="F10">
        <v>52</v>
      </c>
      <c r="G10">
        <v>71</v>
      </c>
      <c r="H10" t="s">
        <v>51</v>
      </c>
      <c r="I10">
        <v>360</v>
      </c>
      <c r="J10">
        <f t="shared" si="0"/>
        <v>72</v>
      </c>
      <c r="K10" t="str">
        <f t="shared" si="1"/>
        <v>pass</v>
      </c>
      <c r="L10" t="str">
        <f t="shared" si="2"/>
        <v>Below distiction</v>
      </c>
      <c r="M10">
        <v>9</v>
      </c>
      <c r="N10" t="str">
        <f t="shared" si="3"/>
        <v>SECOND CLASS</v>
      </c>
    </row>
    <row r="11" spans="1:14" x14ac:dyDescent="0.25">
      <c r="A11" t="s">
        <v>10</v>
      </c>
      <c r="B11" t="s">
        <v>29</v>
      </c>
      <c r="C11">
        <v>92</v>
      </c>
      <c r="D11">
        <v>87</v>
      </c>
      <c r="E11">
        <v>40</v>
      </c>
      <c r="F11">
        <v>88</v>
      </c>
      <c r="G11">
        <v>50</v>
      </c>
      <c r="H11" t="s">
        <v>53</v>
      </c>
      <c r="I11">
        <v>357</v>
      </c>
      <c r="J11">
        <f t="shared" si="0"/>
        <v>71.400000000000006</v>
      </c>
      <c r="K11" t="str">
        <f t="shared" si="1"/>
        <v>fail</v>
      </c>
      <c r="L11" t="str">
        <f t="shared" si="2"/>
        <v>Below distiction</v>
      </c>
      <c r="M11">
        <v>10</v>
      </c>
      <c r="N11" t="str">
        <f t="shared" si="3"/>
        <v>SECOND CLASS</v>
      </c>
    </row>
    <row r="12" spans="1:14" x14ac:dyDescent="0.25">
      <c r="A12" t="s">
        <v>24</v>
      </c>
      <c r="B12" t="s">
        <v>44</v>
      </c>
      <c r="C12">
        <v>44</v>
      </c>
      <c r="D12">
        <v>93</v>
      </c>
      <c r="E12">
        <v>64</v>
      </c>
      <c r="F12">
        <v>69</v>
      </c>
      <c r="G12">
        <v>78</v>
      </c>
      <c r="H12" t="s">
        <v>54</v>
      </c>
      <c r="I12">
        <v>348</v>
      </c>
      <c r="J12">
        <f t="shared" si="0"/>
        <v>69.599999999999994</v>
      </c>
      <c r="K12" t="str">
        <f t="shared" si="1"/>
        <v>fail</v>
      </c>
      <c r="L12" t="str">
        <f t="shared" si="2"/>
        <v>Below distiction</v>
      </c>
      <c r="M12">
        <v>11</v>
      </c>
      <c r="N12" t="str">
        <f t="shared" si="3"/>
        <v>SECOND CLASS</v>
      </c>
    </row>
    <row r="13" spans="1:14" x14ac:dyDescent="0.25">
      <c r="A13" t="s">
        <v>11</v>
      </c>
      <c r="B13" t="s">
        <v>30</v>
      </c>
      <c r="C13">
        <v>52</v>
      </c>
      <c r="D13">
        <v>53</v>
      </c>
      <c r="E13">
        <v>60</v>
      </c>
      <c r="F13">
        <v>85</v>
      </c>
      <c r="G13">
        <v>87</v>
      </c>
      <c r="H13" t="s">
        <v>51</v>
      </c>
      <c r="I13">
        <v>337</v>
      </c>
      <c r="J13">
        <f t="shared" si="0"/>
        <v>67.400000000000006</v>
      </c>
      <c r="K13" t="str">
        <f t="shared" si="1"/>
        <v>pass</v>
      </c>
      <c r="L13" t="str">
        <f t="shared" si="2"/>
        <v>Below distiction</v>
      </c>
      <c r="M13">
        <v>12</v>
      </c>
      <c r="N13" t="str">
        <f t="shared" si="3"/>
        <v>SECOND CLASS</v>
      </c>
    </row>
    <row r="14" spans="1:14" x14ac:dyDescent="0.25">
      <c r="A14" t="s">
        <v>16</v>
      </c>
      <c r="B14" t="s">
        <v>36</v>
      </c>
      <c r="C14">
        <v>88</v>
      </c>
      <c r="D14">
        <v>56</v>
      </c>
      <c r="E14">
        <v>58</v>
      </c>
      <c r="F14">
        <v>61</v>
      </c>
      <c r="G14">
        <v>63</v>
      </c>
      <c r="H14" t="s">
        <v>51</v>
      </c>
      <c r="I14">
        <v>326</v>
      </c>
      <c r="J14">
        <f t="shared" si="0"/>
        <v>65.2</v>
      </c>
      <c r="K14" t="str">
        <f t="shared" si="1"/>
        <v>pass</v>
      </c>
      <c r="L14" t="str">
        <f t="shared" si="2"/>
        <v>Below distiction</v>
      </c>
      <c r="M14">
        <v>13</v>
      </c>
      <c r="N14" t="str">
        <f t="shared" si="3"/>
        <v>SECOND CLASS</v>
      </c>
    </row>
    <row r="15" spans="1:14" x14ac:dyDescent="0.25">
      <c r="A15" t="s">
        <v>21</v>
      </c>
      <c r="B15" t="s">
        <v>41</v>
      </c>
      <c r="C15">
        <v>80</v>
      </c>
      <c r="D15">
        <v>44</v>
      </c>
      <c r="E15">
        <v>48</v>
      </c>
      <c r="F15">
        <v>98</v>
      </c>
      <c r="G15">
        <v>55</v>
      </c>
      <c r="H15" t="s">
        <v>54</v>
      </c>
      <c r="I15">
        <v>325</v>
      </c>
      <c r="J15">
        <f t="shared" si="0"/>
        <v>65</v>
      </c>
      <c r="K15" t="str">
        <f t="shared" si="1"/>
        <v>fail</v>
      </c>
      <c r="L15" t="str">
        <f t="shared" si="2"/>
        <v>Below distiction</v>
      </c>
      <c r="M15">
        <v>14</v>
      </c>
      <c r="N15" t="str">
        <f t="shared" si="3"/>
        <v>SECOND CLASS</v>
      </c>
    </row>
    <row r="16" spans="1:14" x14ac:dyDescent="0.25">
      <c r="A16" t="s">
        <v>12</v>
      </c>
      <c r="B16" t="s">
        <v>31</v>
      </c>
      <c r="C16">
        <v>52</v>
      </c>
      <c r="D16">
        <v>46</v>
      </c>
      <c r="E16">
        <v>99</v>
      </c>
      <c r="F16">
        <v>46</v>
      </c>
      <c r="G16">
        <v>80</v>
      </c>
      <c r="H16" t="s">
        <v>51</v>
      </c>
      <c r="I16">
        <v>323</v>
      </c>
      <c r="J16">
        <f t="shared" si="0"/>
        <v>64.599999999999994</v>
      </c>
      <c r="K16" t="str">
        <f t="shared" si="1"/>
        <v>fail</v>
      </c>
      <c r="L16" t="str">
        <f t="shared" si="2"/>
        <v>Below distiction</v>
      </c>
      <c r="M16">
        <v>15</v>
      </c>
      <c r="N16" t="str">
        <f t="shared" si="3"/>
        <v>SECOND CLASS</v>
      </c>
    </row>
    <row r="17" spans="1:14" x14ac:dyDescent="0.25">
      <c r="A17" t="s">
        <v>22</v>
      </c>
      <c r="B17" t="s">
        <v>42</v>
      </c>
      <c r="C17">
        <v>74</v>
      </c>
      <c r="D17">
        <v>98</v>
      </c>
      <c r="E17">
        <v>47</v>
      </c>
      <c r="F17">
        <v>44</v>
      </c>
      <c r="G17">
        <v>47</v>
      </c>
      <c r="H17" t="s">
        <v>54</v>
      </c>
      <c r="I17">
        <v>310</v>
      </c>
      <c r="J17">
        <f t="shared" si="0"/>
        <v>62</v>
      </c>
      <c r="K17" t="str">
        <f t="shared" si="1"/>
        <v>fail</v>
      </c>
      <c r="L17" t="str">
        <f t="shared" si="2"/>
        <v>Below distiction</v>
      </c>
      <c r="M17">
        <v>16</v>
      </c>
      <c r="N17" t="str">
        <f t="shared" si="3"/>
        <v>SECOND CLASS</v>
      </c>
    </row>
    <row r="18" spans="1:14" x14ac:dyDescent="0.25">
      <c r="A18" t="s">
        <v>13</v>
      </c>
      <c r="B18" t="s">
        <v>32</v>
      </c>
      <c r="C18">
        <v>53</v>
      </c>
      <c r="D18">
        <v>46</v>
      </c>
      <c r="E18">
        <v>61</v>
      </c>
      <c r="F18">
        <v>54</v>
      </c>
      <c r="G18">
        <v>78</v>
      </c>
      <c r="H18" t="s">
        <v>52</v>
      </c>
      <c r="I18">
        <v>292</v>
      </c>
      <c r="J18">
        <f t="shared" si="0"/>
        <v>58.4</v>
      </c>
      <c r="K18" t="str">
        <f t="shared" si="1"/>
        <v>fail</v>
      </c>
      <c r="L18" t="str">
        <f t="shared" si="2"/>
        <v>Below distiction</v>
      </c>
      <c r="M18">
        <v>17</v>
      </c>
      <c r="N18" t="str">
        <f t="shared" si="3"/>
        <v>THIRD CLASS</v>
      </c>
    </row>
    <row r="19" spans="1:14" x14ac:dyDescent="0.25">
      <c r="A19" t="s">
        <v>14</v>
      </c>
      <c r="B19" t="s">
        <v>33</v>
      </c>
      <c r="C19">
        <v>55</v>
      </c>
      <c r="D19">
        <v>48</v>
      </c>
      <c r="E19">
        <v>44</v>
      </c>
      <c r="F19">
        <v>63</v>
      </c>
      <c r="G19">
        <v>79</v>
      </c>
      <c r="H19" t="s">
        <v>52</v>
      </c>
      <c r="I19">
        <v>289</v>
      </c>
      <c r="J19">
        <f t="shared" si="0"/>
        <v>57.8</v>
      </c>
      <c r="K19" t="str">
        <f t="shared" si="1"/>
        <v>fail</v>
      </c>
      <c r="L19" t="str">
        <f t="shared" si="2"/>
        <v>Below distiction</v>
      </c>
      <c r="M19">
        <v>18</v>
      </c>
      <c r="N19" t="str">
        <f t="shared" si="3"/>
        <v>THIRD CLASS</v>
      </c>
    </row>
    <row r="20" spans="1:14" x14ac:dyDescent="0.25">
      <c r="A20" t="s">
        <v>19</v>
      </c>
      <c r="B20" t="s">
        <v>39</v>
      </c>
      <c r="C20">
        <v>55</v>
      </c>
      <c r="D20">
        <v>80</v>
      </c>
      <c r="E20">
        <v>49</v>
      </c>
      <c r="F20">
        <v>51</v>
      </c>
      <c r="G20">
        <v>43</v>
      </c>
      <c r="H20" t="s">
        <v>53</v>
      </c>
      <c r="I20">
        <v>278</v>
      </c>
      <c r="J20">
        <f t="shared" si="0"/>
        <v>55.6</v>
      </c>
      <c r="K20" t="str">
        <f t="shared" si="1"/>
        <v>fail</v>
      </c>
      <c r="L20" t="str">
        <f t="shared" si="2"/>
        <v>Below distiction</v>
      </c>
      <c r="M20">
        <v>19</v>
      </c>
      <c r="N20" t="str">
        <f t="shared" si="3"/>
        <v>THIRD CLASS</v>
      </c>
    </row>
    <row r="21" spans="1:14" x14ac:dyDescent="0.25">
      <c r="A21" t="s">
        <v>20</v>
      </c>
      <c r="B21" t="s">
        <v>40</v>
      </c>
      <c r="C21">
        <v>71</v>
      </c>
      <c r="D21">
        <v>44</v>
      </c>
      <c r="E21">
        <v>41</v>
      </c>
      <c r="F21">
        <v>52</v>
      </c>
      <c r="G21">
        <v>49</v>
      </c>
      <c r="H21" t="s">
        <v>53</v>
      </c>
      <c r="I21">
        <v>257</v>
      </c>
      <c r="J21">
        <f t="shared" si="0"/>
        <v>51.4</v>
      </c>
      <c r="K21" t="str">
        <f t="shared" si="1"/>
        <v>fail</v>
      </c>
      <c r="L21" t="str">
        <f t="shared" si="2"/>
        <v>Below distiction</v>
      </c>
      <c r="M21">
        <v>20</v>
      </c>
      <c r="N21" t="str">
        <f t="shared" si="3"/>
        <v>THIRD CLASS</v>
      </c>
    </row>
    <row r="22" spans="1:14" x14ac:dyDescent="0.25">
      <c r="L22">
        <f>COUNTIF(L2:L21,"Distiction")</f>
        <v>5</v>
      </c>
    </row>
  </sheetData>
  <sortState ref="A2:N21">
    <sortCondition descending="1" ref="J2:J21"/>
  </sortState>
  <conditionalFormatting sqref="K5:K21">
    <cfRule type="cellIs" dxfId="10" priority="10" operator="equal">
      <formula>"fail"</formula>
    </cfRule>
    <cfRule type="cellIs" dxfId="9" priority="11" operator="equal">
      <formula>"pass"</formula>
    </cfRule>
  </conditionalFormatting>
  <conditionalFormatting sqref="L5:L21">
    <cfRule type="cellIs" dxfId="8" priority="7" operator="equal">
      <formula>"below distiction"</formula>
    </cfRule>
    <cfRule type="cellIs" dxfId="7" priority="8" operator="equal">
      <formula>"below distiction"</formula>
    </cfRule>
    <cfRule type="cellIs" dxfId="6" priority="9" operator="equal">
      <formula>"Distiction"</formula>
    </cfRule>
  </conditionalFormatting>
  <conditionalFormatting sqref="C5:G21">
    <cfRule type="cellIs" dxfId="5" priority="6" operator="greaterThan">
      <formula>70</formula>
    </cfRule>
  </conditionalFormatting>
  <conditionalFormatting sqref="L2:L21">
    <cfRule type="cellIs" dxfId="4" priority="4" operator="equal">
      <formula>"BELOW DISTICTION"</formula>
    </cfRule>
    <cfRule type="cellIs" dxfId="3" priority="5" operator="equal">
      <formula>"DISTICTION"</formula>
    </cfRule>
  </conditionalFormatting>
  <conditionalFormatting sqref="K2:K21">
    <cfRule type="cellIs" dxfId="2" priority="2" operator="equal">
      <formula>"FAIL"</formula>
    </cfRule>
    <cfRule type="cellIs" dxfId="1" priority="3" operator="equal">
      <formula>"PASS"</formula>
    </cfRule>
  </conditionalFormatting>
  <conditionalFormatting sqref="C2:G21">
    <cfRule type="cellIs" dxfId="0" priority="1" operator="greaterThan">
      <formula>50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SSITNGP-02-09</dc:creator>
  <cp:lastModifiedBy>SSITNGP-02-09</cp:lastModifiedBy>
  <dcterms:created xsi:type="dcterms:W3CDTF">2025-10-01T10:40:49Z</dcterms:created>
  <dcterms:modified xsi:type="dcterms:W3CDTF">2025-10-14T04:24:18Z</dcterms:modified>
</cp:coreProperties>
</file>